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评分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i val="1"/>
      <color rgb="0066666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  <col width="18" customWidth="1" min="5" max="5"/>
    <col width="15" customWidth="1" min="6" max="6"/>
  </cols>
  <sheetData>
    <row r="1">
      <c r="A1" s="1" t="inlineStr">
        <is>
          <t>厂家名称</t>
        </is>
      </c>
      <c r="B1" s="1" t="inlineStr">
        <is>
          <t>不含税总价</t>
        </is>
      </c>
      <c r="C1" s="1" t="inlineStr">
        <is>
          <t>税率(如13%)</t>
        </is>
      </c>
      <c r="D1" s="1" t="inlineStr">
        <is>
          <t>异常低价标记</t>
        </is>
      </c>
      <c r="E1" s="1" t="inlineStr">
        <is>
          <t>评审价格(D₁)</t>
        </is>
      </c>
      <c r="F1" s="1" t="inlineStr">
        <is>
          <t>价格得分</t>
        </is>
      </c>
      <c r="H1" s="2" t="inlineStr">
        <is>
          <t>评审基准价(D)</t>
        </is>
      </c>
    </row>
    <row r="2">
      <c r="A2" s="3" t="n"/>
      <c r="B2" s="3" t="n"/>
      <c r="C2" s="3" t="inlineStr">
        <is>
          <t>13%</t>
        </is>
      </c>
      <c r="D2" s="3">
        <f>IF(OR(B2="", B2=0), "", IF(B2&lt;AVERAGE($B$2:$B$9)*0.5, "异常低价", ""))</f>
        <v/>
      </c>
      <c r="E2" s="3">
        <f>IF(OR(B2="", C2=""), "", ROUND(B2*(1+((MAX($C$2:$C$9)-C2)*0.12)), 2))</f>
        <v/>
      </c>
      <c r="F2" s="3">
        <f>IF(OR(E2="", D2="异常低价"), IF(D2="异常低价", "否决", ""), LET(基准价,$H$2,系数N,0.95,系数E,1,IF(基准价=0,0,IF(AND(E2&gt;=系数N*基准价,E2&lt;=基准价),100,IF(E2&gt;基准价,ROUND(100-ABS(E2-基准价)/基准价*100*系数E,2),ROUND(100-ABS(E2-系数N*基准价)/基准价*100*(系数E/2),2))))))</f>
        <v/>
      </c>
      <c r="H2" s="4">
        <f>LET(数据区,E2:E9,标记区,D2:D9,有效数,COUNTA(数据区),IF(有效数&lt;=5,ROUND(AVERAGE(数据区),2),LET(剔异常,FILTER(数据区,标记区&lt;&gt;"异常低价"),剔最值,FILTER(剔异常,(剔异常&lt;&gt;MAX(剔异常))*(剔异常&lt;&gt;MIN(剔异常))),剔最值均值,AVERAGE(剔最值),留用,FILTER(剔最值,ABS(剔最值-剔最值均值)/剔最值均值&lt;=0.2),IF(COUNTA(留用)=0,ROUND(剔最值均值,2),ROUND(AVERAGE(留用),2)))))</f>
        <v/>
      </c>
    </row>
    <row r="3">
      <c r="A3" s="3" t="n"/>
      <c r="B3" s="3" t="n"/>
      <c r="C3" s="3" t="inlineStr">
        <is>
          <t>13%</t>
        </is>
      </c>
      <c r="D3" s="3">
        <f>IF(OR(B3="", B3=0), "", IF(B3&lt;AVERAGE($B$2:$B$9)*0.5, "异常低价", ""))</f>
        <v/>
      </c>
      <c r="E3" s="3">
        <f>IF(OR(B3="", C3=""), "", ROUND(B3*(1+((MAX($C$2:$C$9)-C3)*0.12)), 2))</f>
        <v/>
      </c>
      <c r="F3" s="3">
        <f>IF(OR(E3="", D3="异常低价"), IF(D3="异常低价", "否决", ""), LET(基准价,$H$2,系数N,0.95,系数E,1,IF(基准价=0,0,IF(AND(E3&gt;=系数N*基准价,E3&lt;=基准价),100,IF(E3&gt;基准价,ROUND(100-ABS(E3-基准价)/基准价*100*系数E,2),ROUND(100-ABS(E3-系数N*基准价)/基准价*100*(系数E/2),2))))))</f>
        <v/>
      </c>
      <c r="H3" s="5" t="inlineStr">
        <is>
          <t>说明：异常低价厂家参与基准值计算，但价格分为0</t>
        </is>
      </c>
    </row>
    <row r="4">
      <c r="A4" s="3" t="n"/>
      <c r="B4" s="3" t="n"/>
      <c r="C4" s="3" t="inlineStr">
        <is>
          <t>13%</t>
        </is>
      </c>
      <c r="D4" s="3">
        <f>IF(OR(B4="", B4=0), "", IF(B4&lt;AVERAGE($B$2:$B$9)*0.5, "异常低价", ""))</f>
        <v/>
      </c>
      <c r="E4" s="3">
        <f>IF(OR(B4="", C4=""), "", ROUND(B4*(1+((MAX($C$2:$C$9)-C4)*0.12)), 2))</f>
        <v/>
      </c>
      <c r="F4" s="3">
        <f>IF(OR(E4="", D4="异常低价"), IF(D4="异常低价", "否决", ""), LET(基准价,$H$2,系数N,0.95,系数E,1,IF(基准价=0,0,IF(AND(E4&gt;=系数N*基准价,E4&lt;=基准价),100,IF(E4&gt;基准价,ROUND(100-ABS(E4-基准价)/基准价*100*系数E,2),ROUND(100-ABS(E4-系数N*基准价)/基准价*100*(系数E/2),2))))))</f>
        <v/>
      </c>
    </row>
    <row r="5">
      <c r="A5" s="3" t="n"/>
      <c r="B5" s="3" t="n"/>
      <c r="C5" s="3" t="inlineStr">
        <is>
          <t>13%</t>
        </is>
      </c>
      <c r="D5" s="3">
        <f>IF(OR(B5="", B5=0), "", IF(B5&lt;AVERAGE($B$2:$B$9)*0.5, "异常低价", ""))</f>
        <v/>
      </c>
      <c r="E5" s="3">
        <f>IF(OR(B5="", C5=""), "", ROUND(B5*(1+((MAX($C$2:$C$9)-C5)*0.12)), 2))</f>
        <v/>
      </c>
      <c r="F5" s="3">
        <f>IF(OR(E5="", D5="异常低价"), IF(D5="异常低价", "否决", ""), LET(基准价,$H$2,系数N,0.95,系数E,1,IF(基准价=0,0,IF(AND(E5&gt;=系数N*基准价,E5&lt;=基准价),100,IF(E5&gt;基准价,ROUND(100-ABS(E5-基准价)/基准价*100*系数E,2),ROUND(100-ABS(E5-系数N*基准价)/基准价*100*(系数E/2),2))))))</f>
        <v/>
      </c>
    </row>
    <row r="6">
      <c r="A6" s="3" t="n"/>
      <c r="B6" s="3" t="n"/>
      <c r="C6" s="3" t="inlineStr">
        <is>
          <t>13%</t>
        </is>
      </c>
      <c r="D6" s="3">
        <f>IF(OR(B6="", B6=0), "", IF(B6&lt;AVERAGE($B$2:$B$9)*0.5, "异常低价", ""))</f>
        <v/>
      </c>
      <c r="E6" s="3">
        <f>IF(OR(B6="", C6=""), "", ROUND(B6*(1+((MAX($C$2:$C$9)-C6)*0.12)), 2))</f>
        <v/>
      </c>
      <c r="F6" s="3">
        <f>IF(OR(E6="", D6="异常低价"), IF(D6="异常低价", "否决", ""), LET(基准价,$H$2,系数N,0.95,系数E,1,IF(基准价=0,0,IF(AND(E6&gt;=系数N*基准价,E6&lt;=基准价),100,IF(E6&gt;基准价,ROUND(100-ABS(E6-基准价)/基准价*100*系数E,2),ROUND(100-ABS(E6-系数N*基准价)/基准价*100*(系数E/2),2))))))</f>
        <v/>
      </c>
    </row>
    <row r="7">
      <c r="A7" s="3" t="n"/>
      <c r="B7" s="3" t="n"/>
      <c r="C7" s="3" t="inlineStr">
        <is>
          <t>13%</t>
        </is>
      </c>
      <c r="D7" s="3">
        <f>IF(OR(B7="", B7=0), "", IF(B7&lt;AVERAGE($B$2:$B$9)*0.5, "异常低价", ""))</f>
        <v/>
      </c>
      <c r="E7" s="3">
        <f>IF(OR(B7="", C7=""), "", ROUND(B7*(1+((MAX($C$2:$C$9)-C7)*0.12)), 2))</f>
        <v/>
      </c>
      <c r="F7" s="3">
        <f>IF(OR(E7="", D7="异常低价"), IF(D7="异常低价", "否决", ""), LET(基准价,$H$2,系数N,0.95,系数E,1,IF(基准价=0,0,IF(AND(E7&gt;=系数N*基准价,E7&lt;=基准价),100,IF(E7&gt;基准价,ROUND(100-ABS(E7-基准价)/基准价*100*系数E,2),ROUND(100-ABS(E7-系数N*基准价)/基准价*100*(系数E/2),2))))))</f>
        <v/>
      </c>
    </row>
    <row r="8">
      <c r="A8" s="3" t="n"/>
      <c r="B8" s="3" t="n"/>
      <c r="C8" s="3" t="inlineStr">
        <is>
          <t>13%</t>
        </is>
      </c>
      <c r="D8" s="3">
        <f>IF(OR(B8="", B8=0), "", IF(B8&lt;AVERAGE($B$2:$B$9)*0.5, "异常低价", ""))</f>
        <v/>
      </c>
      <c r="E8" s="3">
        <f>IF(OR(B8="", C8=""), "", ROUND(B8*(1+((MAX($C$2:$C$9)-C8)*0.12)), 2))</f>
        <v/>
      </c>
      <c r="F8" s="3">
        <f>IF(OR(E8="", D8="异常低价"), IF(D8="异常低价", "否决", ""), LET(基准价,$H$2,系数N,0.95,系数E,1,IF(基准价=0,0,IF(AND(E8&gt;=系数N*基准价,E8&lt;=基准价),100,IF(E8&gt;基准价,ROUND(100-ABS(E8-基准价)/基准价*100*系数E,2),ROUND(100-ABS(E8-系数N*基准价)/基准价*100*(系数E/2),2))))))</f>
        <v/>
      </c>
    </row>
    <row r="9">
      <c r="A9" s="3" t="n"/>
      <c r="B9" s="3" t="n"/>
      <c r="C9" s="3" t="inlineStr">
        <is>
          <t>13%</t>
        </is>
      </c>
      <c r="D9" s="3">
        <f>IF(OR(B9="", B9=0), "", IF(B9&lt;AVERAGE($B$2:$B$9)*0.5, "异常低价", ""))</f>
        <v/>
      </c>
      <c r="E9" s="3">
        <f>IF(OR(B9="", C9=""), "", ROUND(B9*(1+((MAX($C$2:$C$9)-C9)*0.12)), 2))</f>
        <v/>
      </c>
      <c r="F9" s="3">
        <f>IF(OR(E9="", D9="异常低价"), IF(D9="异常低价", "否决", ""), LET(基准价,$H$2,系数N,0.95,系数E,1,IF(基准价=0,0,IF(AND(E9&gt;=系数N*基准价,E9&lt;=基准价),100,IF(E9&gt;基准价,ROUND(100-ABS(E9-基准价)/基准价*100*系数E,2),ROUND(100-ABS(E9-系数N*基准价)/基准价*100*(系数E/2),2))))))</f>
        <v/>
      </c>
    </row>
    <row r="12">
      <c r="A12" s="6" t="inlineStr">
        <is>
          <t>使用说明：</t>
        </is>
      </c>
    </row>
    <row r="13">
      <c r="A13" t="inlineStr">
        <is>
          <t>1. 在A列填写厂家名称，B列填写不含税总价，C列填写税率（默认13%）</t>
        </is>
      </c>
    </row>
    <row r="14">
      <c r="A14" t="inlineStr">
        <is>
          <t>2. D列自动判断是否为异常低价（低于平均值50%标记为异常）</t>
        </is>
      </c>
    </row>
    <row r="15">
      <c r="A15" t="inlineStr">
        <is>
          <t>3. E列自动计算评审价格（考虑税率调整系数12%）</t>
        </is>
      </c>
    </row>
    <row r="16">
      <c r="A16" t="inlineStr">
        <is>
          <t>4. H2单元格自动计算评审基准价（剔除最高最低及偏差&gt;20%的值）</t>
        </is>
      </c>
    </row>
    <row r="17">
      <c r="A17" t="inlineStr">
        <is>
          <t>5. F列自动计算价格得分（异常低价厂家显示"否决"，不参与排名）</t>
        </is>
      </c>
    </row>
    <row r="18">
      <c r="A18" t="inlineStr">
        <is>
          <t>6. 可扩展：将第9行后的公式向下复制，支持超过8家厂家</t>
        </is>
      </c>
    </row>
    <row r="20">
      <c r="A20" s="6" t="inlineStr">
        <is>
          <t>公式说明：</t>
        </is>
      </c>
    </row>
    <row r="21">
      <c r="A21" t="inlineStr">
        <is>
          <t>评审价格 D₁ = 不含税总价 × (1 + [max(税率)-本税率] × 12%)</t>
        </is>
      </c>
    </row>
    <row r="22">
      <c r="A22" t="inlineStr">
        <is>
          <t>评审基准价 D = 有效数≤5时取平均；&gt;5时剔除1高1低及偏差&gt;20%后取平均</t>
        </is>
      </c>
    </row>
    <row r="23">
      <c r="A23" t="inlineStr">
        <is>
          <t>价格得分 F：当 0.95D ≤ D₁ ≤ D 时，F=100；</t>
        </is>
      </c>
    </row>
    <row r="24">
      <c r="A24" t="inlineStr">
        <is>
          <t xml:space="preserve">  D₁&gt;D 时，F=100-|D₁-D|÷D×100×E；D₁&lt;0.95D 时，F=100-|D₁-0.95D|÷D×100×(E÷2)</t>
        </is>
      </c>
    </row>
    <row r="25">
      <c r="A25" t="inlineStr">
        <is>
          <t>其中 E=1，N=95%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2026-03-15T13:14:03Z</dcterms:created>
  <dcterms:modified xsi:type="dcterms:W3CDTF">2026-03-15T13:14:03Z</dcterms:modified>
</cp:coreProperties>
</file>